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inker\"/>
    </mc:Choice>
  </mc:AlternateContent>
  <xr:revisionPtr revIDLastSave="0" documentId="13_ncr:1_{25F07018-FD5F-4EBB-9D02-83F88CE87C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2" i="2"/>
  <c r="H11" i="1"/>
  <c r="J11" i="1" s="1"/>
  <c r="H6" i="1"/>
  <c r="I6" i="1" s="1"/>
  <c r="M6" i="1" s="1"/>
  <c r="H15" i="1"/>
  <c r="I15" i="1" s="1"/>
  <c r="H4" i="1"/>
  <c r="I4" i="1" s="1"/>
  <c r="H8" i="1"/>
  <c r="I8" i="1" s="1"/>
  <c r="H7" i="1"/>
  <c r="I7" i="1" s="1"/>
  <c r="M7" i="1" s="1"/>
  <c r="H13" i="1"/>
  <c r="I13" i="1" s="1"/>
  <c r="M13" i="1" s="1"/>
  <c r="H16" i="1"/>
  <c r="I16" i="1" s="1"/>
  <c r="H2" i="1"/>
  <c r="I2" i="1" s="1"/>
  <c r="M2" i="1" s="1"/>
  <c r="H12" i="1"/>
  <c r="J12" i="1" s="1"/>
  <c r="H5" i="1"/>
  <c r="J5" i="1" s="1"/>
  <c r="H14" i="1"/>
  <c r="J14" i="1" s="1"/>
  <c r="H10" i="1"/>
  <c r="J10" i="1" s="1"/>
  <c r="H9" i="1"/>
  <c r="I9" i="1" s="1"/>
  <c r="H3" i="1"/>
  <c r="J3" i="1" s="1"/>
  <c r="E2" i="2" s="1"/>
  <c r="J15" i="1"/>
  <c r="J7" i="1"/>
  <c r="J16" i="1"/>
  <c r="K16" i="1" s="1"/>
  <c r="D16" i="2" l="1"/>
  <c r="M9" i="1"/>
  <c r="D6" i="2"/>
  <c r="M4" i="1"/>
  <c r="D5" i="2"/>
  <c r="M15" i="1"/>
  <c r="D7" i="2"/>
  <c r="M8" i="1"/>
  <c r="C11" i="2"/>
  <c r="J8" i="1"/>
  <c r="D10" i="2"/>
  <c r="M16" i="1"/>
  <c r="C4" i="2"/>
  <c r="E13" i="2"/>
  <c r="E12" i="2"/>
  <c r="E8" i="2"/>
  <c r="K7" i="1"/>
  <c r="E7" i="2"/>
  <c r="K8" i="1"/>
  <c r="E3" i="2"/>
  <c r="C12" i="2"/>
  <c r="E14" i="2"/>
  <c r="K14" i="1"/>
  <c r="K15" i="1"/>
  <c r="E10" i="2"/>
  <c r="C10" i="2"/>
  <c r="D8" i="2"/>
  <c r="E15" i="2"/>
  <c r="C3" i="2"/>
  <c r="J4" i="1"/>
  <c r="C2" i="2"/>
  <c r="C9" i="2"/>
  <c r="J6" i="1"/>
  <c r="E5" i="2" s="1"/>
  <c r="C16" i="2"/>
  <c r="C8" i="2"/>
  <c r="C15" i="2"/>
  <c r="C7" i="2"/>
  <c r="J2" i="1"/>
  <c r="C14" i="2"/>
  <c r="C6" i="2"/>
  <c r="C13" i="2"/>
  <c r="C5" i="2"/>
  <c r="I11" i="1"/>
  <c r="M11" i="1" s="1"/>
  <c r="I10" i="1"/>
  <c r="J9" i="1"/>
  <c r="I3" i="1"/>
  <c r="J13" i="1"/>
  <c r="I14" i="1"/>
  <c r="I5" i="1"/>
  <c r="I12" i="1"/>
  <c r="D15" i="2" l="1"/>
  <c r="M10" i="1"/>
  <c r="D2" i="2"/>
  <c r="M3" i="1"/>
  <c r="D13" i="2"/>
  <c r="M5" i="1"/>
  <c r="D14" i="2"/>
  <c r="M14" i="1"/>
  <c r="D4" i="2"/>
  <c r="D12" i="2"/>
  <c r="M12" i="1"/>
  <c r="E11" i="2"/>
  <c r="K2" i="1"/>
  <c r="E6" i="2"/>
  <c r="K4" i="1"/>
  <c r="E16" i="2"/>
  <c r="K9" i="1"/>
  <c r="K10" i="1"/>
  <c r="D3" i="2"/>
  <c r="D11" i="2"/>
  <c r="K12" i="1"/>
  <c r="E4" i="2"/>
  <c r="K6" i="1"/>
  <c r="K11" i="1"/>
  <c r="K3" i="1"/>
  <c r="K5" i="1"/>
  <c r="E9" i="2"/>
  <c r="K13" i="1"/>
</calcChain>
</file>

<file path=xl/sharedStrings.xml><?xml version="1.0" encoding="utf-8"?>
<sst xmlns="http://schemas.openxmlformats.org/spreadsheetml/2006/main" count="63" uniqueCount="45">
  <si>
    <t>Name</t>
  </si>
  <si>
    <t>PRN</t>
  </si>
  <si>
    <t>Result</t>
  </si>
  <si>
    <t>Aditi Sharma</t>
  </si>
  <si>
    <t>2025A001</t>
  </si>
  <si>
    <t>Rahul Patil</t>
  </si>
  <si>
    <t>2025A002</t>
  </si>
  <si>
    <t>Sneha Deshmukh</t>
  </si>
  <si>
    <t>2025A003</t>
  </si>
  <si>
    <t>Karan Mehta</t>
  </si>
  <si>
    <t>2025A004</t>
  </si>
  <si>
    <t>Priya Nair</t>
  </si>
  <si>
    <t>2025A005</t>
  </si>
  <si>
    <t>Aarav Joshi</t>
  </si>
  <si>
    <t>2025A006</t>
  </si>
  <si>
    <t>Nisha Singh</t>
  </si>
  <si>
    <t>2025A007</t>
  </si>
  <si>
    <t>Vivek Kulkarni</t>
  </si>
  <si>
    <t>2025A008</t>
  </si>
  <si>
    <t>Rohan Gupta</t>
  </si>
  <si>
    <t>2025A009</t>
  </si>
  <si>
    <t>Meera Iyer</t>
  </si>
  <si>
    <t>2025A010</t>
  </si>
  <si>
    <t>Aniket Pawar</t>
  </si>
  <si>
    <t>2025A011</t>
  </si>
  <si>
    <t>Divya Kaur</t>
  </si>
  <si>
    <t>2025A012</t>
  </si>
  <si>
    <t>Tushar Jadhav</t>
  </si>
  <si>
    <t>2025A013</t>
  </si>
  <si>
    <t>Kavya Pillai</t>
  </si>
  <si>
    <t>2025A014</t>
  </si>
  <si>
    <t>Omkar Desai</t>
  </si>
  <si>
    <t>2025A015</t>
  </si>
  <si>
    <t>Percentage</t>
  </si>
  <si>
    <t>Sub1</t>
  </si>
  <si>
    <t>Sub2</t>
  </si>
  <si>
    <t>Sub3</t>
  </si>
  <si>
    <t>Sub4</t>
  </si>
  <si>
    <t>Sub5</t>
  </si>
  <si>
    <t>Total</t>
  </si>
  <si>
    <t>percentage</t>
  </si>
  <si>
    <t>total</t>
  </si>
  <si>
    <t>Distinction</t>
  </si>
  <si>
    <t>Class</t>
  </si>
  <si>
    <t>Topper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</si>
</sst>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="115" zoomScaleNormal="115" workbookViewId="0">
      <selection activeCell="J20" sqref="J20"/>
    </sheetView>
  </sheetViews>
  <sheetFormatPr defaultRowHeight="15" x14ac:dyDescent="0.25"/>
  <cols>
    <col min="1" max="1" width="15" customWidth="1"/>
    <col min="2" max="2" width="18.28515625" customWidth="1"/>
    <col min="9" max="9" width="13.85546875" style="6" customWidth="1"/>
    <col min="11" max="12" width="13.85546875" customWidth="1"/>
    <col min="13" max="13" width="14.5703125" customWidth="1"/>
  </cols>
  <sheetData>
    <row r="1" spans="1:13" x14ac:dyDescent="0.25">
      <c r="A1" t="s">
        <v>1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4" t="s">
        <v>40</v>
      </c>
      <c r="J1" s="1" t="s">
        <v>2</v>
      </c>
      <c r="K1" s="1" t="s">
        <v>42</v>
      </c>
      <c r="L1" s="1" t="s">
        <v>44</v>
      </c>
      <c r="M1" s="1" t="s">
        <v>43</v>
      </c>
    </row>
    <row r="2" spans="1:13" x14ac:dyDescent="0.25">
      <c r="A2" s="2" t="s">
        <v>22</v>
      </c>
      <c r="B2" s="2" t="s">
        <v>21</v>
      </c>
      <c r="C2" s="2">
        <v>98</v>
      </c>
      <c r="D2" s="2">
        <v>97</v>
      </c>
      <c r="E2" s="2">
        <v>96</v>
      </c>
      <c r="F2" s="2">
        <v>99</v>
      </c>
      <c r="G2" s="2">
        <v>99</v>
      </c>
      <c r="H2" s="3">
        <f>SUM(C2:G2)</f>
        <v>489</v>
      </c>
      <c r="I2" s="5">
        <f>(H2/500)*100</f>
        <v>97.8</v>
      </c>
      <c r="J2" s="2" t="str">
        <f>IF(OR(C2&lt;40,D2&lt;40,E2&lt;40,F2&lt;40,G2&lt;40),"Fail",IF(H2&gt;=200,"Pass","Fail"))</f>
        <v>Pass</v>
      </c>
      <c r="K2" t="str">
        <f>IF(AND( J2="Pass",I2&gt;=75),"Distiction","Below distiction")</f>
        <v>Distiction</v>
      </c>
      <c r="L2">
        <v>1</v>
      </c>
      <c r="M2" t="str">
        <f>IF(I2&gt;75,"FIRST CLASS",IF(I2&gt;60,"SECOND CLASS",IF(I2&gt;45,"THIRD CLASS")))</f>
        <v>FIRST CLASS</v>
      </c>
    </row>
    <row r="3" spans="1:13" x14ac:dyDescent="0.25">
      <c r="A3" s="2" t="s">
        <v>4</v>
      </c>
      <c r="B3" s="2" t="s">
        <v>3</v>
      </c>
      <c r="C3" s="2">
        <v>92</v>
      </c>
      <c r="D3" s="2">
        <v>88</v>
      </c>
      <c r="E3" s="2">
        <v>90</v>
      </c>
      <c r="F3" s="2">
        <v>94</v>
      </c>
      <c r="G3" s="2">
        <v>92</v>
      </c>
      <c r="H3" s="3">
        <f>SUM(C3:G3)</f>
        <v>456</v>
      </c>
      <c r="I3" s="5">
        <f>(H3/500)*100</f>
        <v>91.2</v>
      </c>
      <c r="J3" s="2" t="str">
        <f>IF(OR(C3&lt;40,D3&lt;40,E3&lt;40,F3&lt;40,G3&lt;40),"Fail",IF(H3&gt;=200,"Pass","Fail"))</f>
        <v>Pass</v>
      </c>
      <c r="K3" t="str">
        <f>IF(AND( J3="Pass",I3&gt;=75),"Distiction","Below distiction")</f>
        <v>Distiction</v>
      </c>
      <c r="L3">
        <v>2</v>
      </c>
      <c r="M3" t="str">
        <f t="shared" ref="M3:M16" si="0">IF(I3&gt;75,"FIRST CLASS",IF(I3&gt;60,"SECOND CLASS",IF(I3&gt;45,"THIRD CLASS")))</f>
        <v>FIRST CLASS</v>
      </c>
    </row>
    <row r="4" spans="1:13" x14ac:dyDescent="0.25">
      <c r="A4" s="2" t="s">
        <v>12</v>
      </c>
      <c r="B4" s="2" t="s">
        <v>11</v>
      </c>
      <c r="C4" s="2">
        <v>88</v>
      </c>
      <c r="D4" s="2">
        <v>91</v>
      </c>
      <c r="E4" s="2">
        <v>87</v>
      </c>
      <c r="F4" s="2">
        <v>89</v>
      </c>
      <c r="G4" s="2">
        <v>86</v>
      </c>
      <c r="H4" s="3">
        <f>SUM(C4:G4)</f>
        <v>441</v>
      </c>
      <c r="I4" s="5">
        <f>(H4/500)*100</f>
        <v>88.2</v>
      </c>
      <c r="J4" s="2" t="str">
        <f>IF(OR(C4&lt;40,D4&lt;40,E4&lt;40,F4&lt;40,G4&lt;40),"Fail",IF(H4&gt;=200,"Pass","Fail"))</f>
        <v>Pass</v>
      </c>
      <c r="K4" t="str">
        <f>IF(AND( J4="Pass",I4&gt;=75),"Distiction","Below distiction")</f>
        <v>Distiction</v>
      </c>
      <c r="L4">
        <v>3</v>
      </c>
      <c r="M4" t="str">
        <f t="shared" si="0"/>
        <v>FIRST CLASS</v>
      </c>
    </row>
    <row r="5" spans="1:13" x14ac:dyDescent="0.25">
      <c r="A5" s="2" t="s">
        <v>26</v>
      </c>
      <c r="B5" s="2" t="s">
        <v>25</v>
      </c>
      <c r="C5" s="2">
        <v>84</v>
      </c>
      <c r="D5" s="2">
        <v>85</v>
      </c>
      <c r="E5" s="2">
        <v>83</v>
      </c>
      <c r="F5" s="2">
        <v>86</v>
      </c>
      <c r="G5" s="2">
        <v>83</v>
      </c>
      <c r="H5" s="3">
        <f>SUM(C5:G5)</f>
        <v>421</v>
      </c>
      <c r="I5" s="5">
        <f>(H5/500)*100</f>
        <v>84.2</v>
      </c>
      <c r="J5" s="2" t="str">
        <f>IF(OR(C5&lt;40,D5&lt;40,E5&lt;40,F5&lt;40,G5&lt;40),"Fail",IF(H5&gt;=200,"Pass","Fail"))</f>
        <v>Pass</v>
      </c>
      <c r="K5" t="str">
        <f>IF(AND( J5="Pass",I5&gt;=75),"Distiction","Below distiction")</f>
        <v>Distiction</v>
      </c>
      <c r="L5">
        <v>4</v>
      </c>
      <c r="M5" t="str">
        <f t="shared" si="0"/>
        <v>FIRST CLASS</v>
      </c>
    </row>
    <row r="6" spans="1:13" x14ac:dyDescent="0.25">
      <c r="A6" s="2" t="s">
        <v>8</v>
      </c>
      <c r="B6" s="2" t="s">
        <v>7</v>
      </c>
      <c r="C6" s="2">
        <v>84</v>
      </c>
      <c r="D6" s="2">
        <v>82</v>
      </c>
      <c r="E6" s="2">
        <v>79</v>
      </c>
      <c r="F6" s="2">
        <v>86</v>
      </c>
      <c r="G6" s="2">
        <v>84</v>
      </c>
      <c r="H6" s="3">
        <f>SUM(C6:G6)</f>
        <v>415</v>
      </c>
      <c r="I6" s="5">
        <f>(H6/500)*100</f>
        <v>83</v>
      </c>
      <c r="J6" s="2" t="str">
        <f>IF(OR(C6&lt;40,D6&lt;40,E6&lt;40,F6&lt;40,G6&lt;40),"Fail",IF(H6&gt;=200,"Pass","Fail"))</f>
        <v>Pass</v>
      </c>
      <c r="K6" t="str">
        <f>IF(AND( J6="Pass",I6&gt;=75),"Distiction","Below distiction")</f>
        <v>Distiction</v>
      </c>
      <c r="L6">
        <v>5</v>
      </c>
      <c r="M6" t="str">
        <f t="shared" si="0"/>
        <v>FIRST CLASS</v>
      </c>
    </row>
    <row r="7" spans="1:13" x14ac:dyDescent="0.25">
      <c r="A7" s="2" t="s">
        <v>16</v>
      </c>
      <c r="B7" s="2" t="s">
        <v>15</v>
      </c>
      <c r="C7" s="2">
        <v>95</v>
      </c>
      <c r="D7" s="2">
        <v>93</v>
      </c>
      <c r="E7" s="2">
        <v>96</v>
      </c>
      <c r="F7" s="2">
        <v>30</v>
      </c>
      <c r="G7" s="2">
        <v>94</v>
      </c>
      <c r="H7" s="3">
        <f>SUM(C7:G7)</f>
        <v>408</v>
      </c>
      <c r="I7" s="5">
        <f>(H7/500)*100</f>
        <v>81.599999999999994</v>
      </c>
      <c r="J7" s="2" t="str">
        <f>IF(OR(C7&lt;40,D7&lt;40,E7&lt;40,F7&lt;40,G7&lt;40),"Fail",IF(H7&gt;=200,"Pass","Fail"))</f>
        <v>Fail</v>
      </c>
      <c r="K7" t="str">
        <f>IF(AND( J7="Pass",I7&gt;=75),"Distiction","Below distiction")</f>
        <v>Below distiction</v>
      </c>
      <c r="L7">
        <v>6</v>
      </c>
      <c r="M7" t="str">
        <f t="shared" si="0"/>
        <v>FIRST CLASS</v>
      </c>
    </row>
    <row r="8" spans="1:13" x14ac:dyDescent="0.25">
      <c r="A8" s="2" t="s">
        <v>14</v>
      </c>
      <c r="B8" s="2" t="s">
        <v>13</v>
      </c>
      <c r="C8" s="2">
        <v>80</v>
      </c>
      <c r="D8" s="2">
        <v>77</v>
      </c>
      <c r="E8" s="2">
        <v>83</v>
      </c>
      <c r="F8" s="2">
        <v>79</v>
      </c>
      <c r="G8" s="2">
        <v>79</v>
      </c>
      <c r="H8" s="3">
        <f>SUM(C8:G8)</f>
        <v>398</v>
      </c>
      <c r="I8" s="5">
        <f>(H8/500)*100</f>
        <v>79.600000000000009</v>
      </c>
      <c r="J8" s="2" t="str">
        <f>IF(OR(C8&lt;40,D8&lt;40,E8&lt;40,F8&lt;40,G8&lt;40),"Fail",IF(H8&gt;=200,"Pass","Fail"))</f>
        <v>Pass</v>
      </c>
      <c r="K8" t="str">
        <f>IF(AND( J8="Pass",I8&gt;=75),"Distiction","Below distiction")</f>
        <v>Distiction</v>
      </c>
      <c r="L8">
        <v>7</v>
      </c>
      <c r="M8" t="str">
        <f t="shared" si="0"/>
        <v>FIRST CLASS</v>
      </c>
    </row>
    <row r="9" spans="1:13" x14ac:dyDescent="0.25">
      <c r="A9" s="2" t="s">
        <v>32</v>
      </c>
      <c r="B9" s="2" t="s">
        <v>31</v>
      </c>
      <c r="C9" s="2">
        <v>78</v>
      </c>
      <c r="D9" s="2">
        <v>80</v>
      </c>
      <c r="E9" s="2">
        <v>79</v>
      </c>
      <c r="F9" s="2">
        <v>76</v>
      </c>
      <c r="G9" s="2">
        <v>77</v>
      </c>
      <c r="H9" s="3">
        <f>SUM(C9:G9)</f>
        <v>390</v>
      </c>
      <c r="I9" s="5">
        <f>(H9/500)*100</f>
        <v>78</v>
      </c>
      <c r="J9" s="2" t="str">
        <f>IF(OR(C9&lt;40,D9&lt;40,E9&lt;40,F9&lt;40,G9&lt;40),"Fail",IF(H9&gt;=200,"Pass","Fail"))</f>
        <v>Pass</v>
      </c>
      <c r="K9" t="str">
        <f>IF(AND( J9="Pass",I9&gt;=75),"Distiction","Below distiction")</f>
        <v>Distiction</v>
      </c>
      <c r="L9">
        <v>8</v>
      </c>
      <c r="M9" t="str">
        <f t="shared" si="0"/>
        <v>FIRST CLASS</v>
      </c>
    </row>
    <row r="10" spans="1:13" x14ac:dyDescent="0.25">
      <c r="A10" s="2" t="s">
        <v>30</v>
      </c>
      <c r="B10" s="2" t="s">
        <v>29</v>
      </c>
      <c r="C10" s="2">
        <v>87</v>
      </c>
      <c r="D10" s="2">
        <v>88</v>
      </c>
      <c r="E10" s="2">
        <v>86</v>
      </c>
      <c r="F10" s="2">
        <v>40</v>
      </c>
      <c r="G10" s="2">
        <v>87</v>
      </c>
      <c r="H10" s="3">
        <f>SUM(C10:G10)</f>
        <v>388</v>
      </c>
      <c r="I10" s="5">
        <f>(H10/500)*100</f>
        <v>77.600000000000009</v>
      </c>
      <c r="J10" s="2" t="str">
        <f>IF(OR(C10&lt;40,D10&lt;40,E10&lt;40,F10&lt;40,G10&lt;40),"Fail",IF(H10&gt;=200,"Pass","Fail"))</f>
        <v>Pass</v>
      </c>
      <c r="K10" t="str">
        <f>IF(AND( J10="Pass",I10&gt;=75),"Distiction","Below distiction")</f>
        <v>Distiction</v>
      </c>
      <c r="L10">
        <v>9</v>
      </c>
      <c r="M10" t="str">
        <f t="shared" si="0"/>
        <v>FIRST CLASS</v>
      </c>
    </row>
    <row r="11" spans="1:13" x14ac:dyDescent="0.25">
      <c r="A11" s="2" t="s">
        <v>6</v>
      </c>
      <c r="B11" s="2" t="s">
        <v>5</v>
      </c>
      <c r="C11" s="2">
        <v>78</v>
      </c>
      <c r="D11" s="2">
        <v>74</v>
      </c>
      <c r="E11" s="2">
        <v>81</v>
      </c>
      <c r="F11" s="2">
        <v>72</v>
      </c>
      <c r="G11" s="2">
        <v>77</v>
      </c>
      <c r="H11" s="3">
        <f>SUM(C11:G11)</f>
        <v>382</v>
      </c>
      <c r="I11" s="5">
        <f>(H11/500)*100</f>
        <v>76.400000000000006</v>
      </c>
      <c r="J11" s="2" t="str">
        <f>IF(OR(C11&lt;40,D11&lt;40,E11&lt;40,F11&lt;40,G11&lt;40),"Fail",IF(H11&gt;=200,"Pass","Fail"))</f>
        <v>Pass</v>
      </c>
      <c r="K11" t="str">
        <f>IF(AND( J11="Pass",I11&gt;=75),"Distiction","Below distiction")</f>
        <v>Distiction</v>
      </c>
      <c r="L11">
        <v>10</v>
      </c>
      <c r="M11" t="str">
        <f t="shared" si="0"/>
        <v>FIRST CLASS</v>
      </c>
    </row>
    <row r="12" spans="1:13" x14ac:dyDescent="0.25">
      <c r="A12" s="2" t="s">
        <v>24</v>
      </c>
      <c r="B12" s="2" t="s">
        <v>23</v>
      </c>
      <c r="C12" s="2">
        <v>73</v>
      </c>
      <c r="D12" s="2">
        <v>74</v>
      </c>
      <c r="E12" s="2">
        <v>76</v>
      </c>
      <c r="F12" s="2">
        <v>75</v>
      </c>
      <c r="G12" s="2">
        <v>76</v>
      </c>
      <c r="H12" s="3">
        <f>SUM(C12:G12)</f>
        <v>374</v>
      </c>
      <c r="I12" s="5">
        <f>(H12/500)*100</f>
        <v>74.8</v>
      </c>
      <c r="J12" s="2" t="str">
        <f>IF(OR(C12&lt;40,D12&lt;40,E12&lt;40,F12&lt;40,G12&lt;40),"Fail",IF(H12&gt;=200,"Pass","Fail"))</f>
        <v>Pass</v>
      </c>
      <c r="K12" t="str">
        <f>IF(AND( J12="Pass",I12&gt;=75),"Distiction","Below distiction")</f>
        <v>Below distiction</v>
      </c>
      <c r="L12">
        <v>11</v>
      </c>
      <c r="M12" t="str">
        <f t="shared" si="0"/>
        <v>SECOND CLASS</v>
      </c>
    </row>
    <row r="13" spans="1:13" x14ac:dyDescent="0.25">
      <c r="A13" s="2" t="s">
        <v>18</v>
      </c>
      <c r="B13" s="2" t="s">
        <v>17</v>
      </c>
      <c r="C13" s="2">
        <v>70</v>
      </c>
      <c r="D13" s="2">
        <v>71</v>
      </c>
      <c r="E13" s="2">
        <v>69</v>
      </c>
      <c r="F13" s="2">
        <v>73</v>
      </c>
      <c r="G13" s="2">
        <v>73</v>
      </c>
      <c r="H13" s="3">
        <f>SUM(C13:G13)</f>
        <v>356</v>
      </c>
      <c r="I13" s="5">
        <f>(H13/500)*100</f>
        <v>71.2</v>
      </c>
      <c r="J13" s="2" t="str">
        <f>IF(OR(C13&lt;40,D13&lt;40,E13&lt;40,F13&lt;40,G13&lt;40),"Fail",IF(H13&gt;=200,"Pass","Fail"))</f>
        <v>Pass</v>
      </c>
      <c r="K13" t="str">
        <f>IF(AND( J13="Pass",I13&gt;=75),"Distiction","Below distiction")</f>
        <v>Below distiction</v>
      </c>
      <c r="L13">
        <v>12</v>
      </c>
      <c r="M13" t="str">
        <f t="shared" si="0"/>
        <v>SECOND CLASS</v>
      </c>
    </row>
    <row r="14" spans="1:13" x14ac:dyDescent="0.25">
      <c r="A14" s="2" t="s">
        <v>28</v>
      </c>
      <c r="B14" s="2" t="s">
        <v>27</v>
      </c>
      <c r="C14" s="2">
        <v>62</v>
      </c>
      <c r="D14" s="2">
        <v>60</v>
      </c>
      <c r="E14" s="2">
        <v>61</v>
      </c>
      <c r="F14" s="2">
        <v>63</v>
      </c>
      <c r="G14" s="2">
        <v>62</v>
      </c>
      <c r="H14" s="3">
        <f>SUM(C14:G14)</f>
        <v>308</v>
      </c>
      <c r="I14" s="5">
        <f>(H14/500)*100</f>
        <v>61.6</v>
      </c>
      <c r="J14" s="2" t="str">
        <f>IF(OR(C14&lt;40,D14&lt;40,E14&lt;40,F14&lt;40,G14&lt;40),"Fail",IF(H14&gt;=200,"Pass","Fail"))</f>
        <v>Pass</v>
      </c>
      <c r="K14" t="str">
        <f>IF(AND( J14="Pass",I14&gt;=75),"Distiction","Below distiction")</f>
        <v>Below distiction</v>
      </c>
      <c r="L14">
        <v>13</v>
      </c>
      <c r="M14" t="str">
        <f t="shared" si="0"/>
        <v>SECOND CLASS</v>
      </c>
    </row>
    <row r="15" spans="1:13" x14ac:dyDescent="0.25">
      <c r="A15" s="2" t="s">
        <v>10</v>
      </c>
      <c r="B15" s="2" t="s">
        <v>9</v>
      </c>
      <c r="C15" s="2">
        <v>62</v>
      </c>
      <c r="D15" s="2">
        <v>39</v>
      </c>
      <c r="E15" s="2">
        <v>58</v>
      </c>
      <c r="F15" s="2">
        <v>61</v>
      </c>
      <c r="G15" s="2">
        <v>60</v>
      </c>
      <c r="H15" s="3">
        <f>SUM(C15:G15)</f>
        <v>280</v>
      </c>
      <c r="I15" s="5">
        <f>(H15/500)*100</f>
        <v>56.000000000000007</v>
      </c>
      <c r="J15" s="2" t="str">
        <f>IF(OR(C15&lt;40,D15&lt;40,E15&lt;40,F15&lt;40,G15&lt;40),"Fail",IF(H15&gt;=200,"Pass","Fail"))</f>
        <v>Fail</v>
      </c>
      <c r="K15" t="str">
        <f>IF(AND( J15="Pass",I15&gt;=75),"Distiction","Below distiction")</f>
        <v>Below distiction</v>
      </c>
      <c r="L15">
        <v>14</v>
      </c>
      <c r="M15" t="str">
        <f t="shared" si="0"/>
        <v>THIRD CLASS</v>
      </c>
    </row>
    <row r="16" spans="1:13" x14ac:dyDescent="0.25">
      <c r="A16" s="2" t="s">
        <v>20</v>
      </c>
      <c r="B16" s="2" t="s">
        <v>19</v>
      </c>
      <c r="C16" s="2">
        <v>50</v>
      </c>
      <c r="D16" s="2">
        <v>39</v>
      </c>
      <c r="E16" s="2">
        <v>54</v>
      </c>
      <c r="F16" s="2">
        <v>55</v>
      </c>
      <c r="G16" s="2">
        <v>51</v>
      </c>
      <c r="H16" s="3">
        <f>SUM(C16:G16)</f>
        <v>249</v>
      </c>
      <c r="I16" s="5">
        <f>(H16/500)*100</f>
        <v>49.8</v>
      </c>
      <c r="J16" s="2" t="str">
        <f>IF(OR(C16&lt;40,D16&lt;40,E16&lt;40,F16&lt;40,G16&lt;40),"Fail",IF(H16&gt;=200,"Pass","Fail"))</f>
        <v>Fail</v>
      </c>
      <c r="K16" t="str">
        <f>IF(AND( J16="Pass",I16&gt;=75),"Distiction","Below distiction")</f>
        <v>Below distiction</v>
      </c>
      <c r="L16">
        <v>15</v>
      </c>
      <c r="M16" t="str">
        <f t="shared" si="0"/>
        <v>THIRD CLASS</v>
      </c>
    </row>
  </sheetData>
  <sortState xmlns:xlrd2="http://schemas.microsoft.com/office/spreadsheetml/2017/richdata2" ref="A2:K16">
    <sortCondition descending="1" ref="I2:I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3" sqref="B3"/>
    </sheetView>
  </sheetViews>
  <sheetFormatPr defaultRowHeight="15" x14ac:dyDescent="0.25"/>
  <cols>
    <col min="1" max="1" width="19" customWidth="1"/>
    <col min="2" max="2" width="26.140625" customWidth="1"/>
    <col min="3" max="3" width="20.28515625" customWidth="1"/>
    <col min="4" max="4" width="24" customWidth="1"/>
    <col min="5" max="5" width="16.28515625" customWidth="1"/>
  </cols>
  <sheetData>
    <row r="1" spans="1:5" x14ac:dyDescent="0.25">
      <c r="A1" t="s">
        <v>1</v>
      </c>
      <c r="B1" t="s">
        <v>0</v>
      </c>
      <c r="C1" t="s">
        <v>41</v>
      </c>
      <c r="D1" t="s">
        <v>33</v>
      </c>
      <c r="E1" t="s">
        <v>2</v>
      </c>
    </row>
    <row r="2" spans="1:5" x14ac:dyDescent="0.25">
      <c r="A2" s="2" t="s">
        <v>4</v>
      </c>
      <c r="B2" t="str">
        <f>VLOOKUP(A2, Sheet1!A2:J16,2)</f>
        <v>Aditi Sharma</v>
      </c>
      <c r="C2">
        <f>VLOOKUP(A2, Sheet1!A2:J16,8)</f>
        <v>456</v>
      </c>
      <c r="D2">
        <f>VLOOKUP(A2, Sheet1!A2:J16,9)</f>
        <v>91.2</v>
      </c>
      <c r="E2" t="str">
        <f>VLOOKUP(A2, Sheet1!A2:J16, 10)</f>
        <v>Pass</v>
      </c>
    </row>
    <row r="3" spans="1:5" x14ac:dyDescent="0.25">
      <c r="A3" s="2" t="s">
        <v>6</v>
      </c>
      <c r="B3" t="str">
        <f>VLOOKUP(A3, Sheet1!A3:J17,2)</f>
        <v>Aditi Sharma</v>
      </c>
      <c r="C3">
        <f>VLOOKUP(A3, Sheet1!A3:J17,8)</f>
        <v>456</v>
      </c>
      <c r="D3">
        <f>VLOOKUP(A3, Sheet1!A3:J17,9)</f>
        <v>91.2</v>
      </c>
      <c r="E3" t="str">
        <f>VLOOKUP(A3, Sheet1!A3:J17, 10)</f>
        <v>Pass</v>
      </c>
    </row>
    <row r="4" spans="1:5" x14ac:dyDescent="0.25">
      <c r="A4" s="2" t="s">
        <v>8</v>
      </c>
      <c r="B4" t="str">
        <f>VLOOKUP(A4, Sheet1!A4:J18,2)</f>
        <v>Rahul Patil</v>
      </c>
      <c r="C4">
        <f>VLOOKUP(A4, Sheet1!A4:J18,8)</f>
        <v>382</v>
      </c>
      <c r="D4">
        <f>VLOOKUP(A4, Sheet1!A4:J18,9)</f>
        <v>76.400000000000006</v>
      </c>
      <c r="E4" t="str">
        <f>VLOOKUP(A4, Sheet1!A4:J18, 10)</f>
        <v>Pass</v>
      </c>
    </row>
    <row r="5" spans="1:5" x14ac:dyDescent="0.25">
      <c r="A5" s="2" t="s">
        <v>10</v>
      </c>
      <c r="B5" t="str">
        <f>VLOOKUP(A5, Sheet1!A5:J19,2)</f>
        <v>Sneha Deshmukh</v>
      </c>
      <c r="C5">
        <f>VLOOKUP(A5, Sheet1!A5:J19,8)</f>
        <v>415</v>
      </c>
      <c r="D5">
        <f>VLOOKUP(A5, Sheet1!A5:J19,9)</f>
        <v>83</v>
      </c>
      <c r="E5" t="str">
        <f>VLOOKUP(A5, Sheet1!A5:J19, 10)</f>
        <v>Pass</v>
      </c>
    </row>
    <row r="6" spans="1:5" x14ac:dyDescent="0.25">
      <c r="A6" s="2" t="s">
        <v>12</v>
      </c>
      <c r="B6" t="str">
        <f>VLOOKUP(A6, Sheet1!A6:J20,2)</f>
        <v>Sneha Deshmukh</v>
      </c>
      <c r="C6">
        <f>VLOOKUP(A6, Sheet1!A6:J20,8)</f>
        <v>415</v>
      </c>
      <c r="D6">
        <f>VLOOKUP(A6, Sheet1!A6:J20,9)</f>
        <v>83</v>
      </c>
      <c r="E6" t="str">
        <f>VLOOKUP(A6, Sheet1!A6:J20, 10)</f>
        <v>Pass</v>
      </c>
    </row>
    <row r="7" spans="1:5" x14ac:dyDescent="0.25">
      <c r="A7" s="2" t="s">
        <v>14</v>
      </c>
      <c r="B7" t="str">
        <f>VLOOKUP(A7, Sheet1!A7:J21,2)</f>
        <v>Aarav Joshi</v>
      </c>
      <c r="C7">
        <f>VLOOKUP(A7, Sheet1!A7:J21,8)</f>
        <v>398</v>
      </c>
      <c r="D7">
        <f>VLOOKUP(A7, Sheet1!A7:J21,9)</f>
        <v>79.600000000000009</v>
      </c>
      <c r="E7" t="str">
        <f>VLOOKUP(A7, Sheet1!A7:J21, 10)</f>
        <v>Pass</v>
      </c>
    </row>
    <row r="8" spans="1:5" x14ac:dyDescent="0.25">
      <c r="A8" s="2" t="s">
        <v>16</v>
      </c>
      <c r="B8" t="str">
        <f>VLOOKUP(A8, Sheet1!A8:J22,2)</f>
        <v>Karan Mehta</v>
      </c>
      <c r="C8">
        <f>VLOOKUP(A8, Sheet1!A8:J22,8)</f>
        <v>280</v>
      </c>
      <c r="D8">
        <f>VLOOKUP(A8, Sheet1!A8:J22,9)</f>
        <v>56.000000000000007</v>
      </c>
      <c r="E8" t="str">
        <f>VLOOKUP(A8, Sheet1!A8:J22, 10)</f>
        <v>Fail</v>
      </c>
    </row>
    <row r="9" spans="1:5" x14ac:dyDescent="0.25">
      <c r="A9" s="2" t="s">
        <v>18</v>
      </c>
      <c r="B9" t="e">
        <f>VLOOKUP(A9, Sheet1!A9:J23,2)</f>
        <v>#N/A</v>
      </c>
      <c r="C9" t="e">
        <f>VLOOKUP(A9, Sheet1!A9:J23,8)</f>
        <v>#N/A</v>
      </c>
      <c r="D9" t="e">
        <f>VLOOKUP(A9, Sheet1!A9:J23,9)</f>
        <v>#N/A</v>
      </c>
      <c r="E9" t="e">
        <f>VLOOKUP(A9, Sheet1!A9:J23, 10)</f>
        <v>#N/A</v>
      </c>
    </row>
    <row r="10" spans="1:5" x14ac:dyDescent="0.25">
      <c r="A10" s="2" t="s">
        <v>20</v>
      </c>
      <c r="B10" t="str">
        <f>VLOOKUP(A10, Sheet1!A10:J24,2)</f>
        <v>Rohan Gupta</v>
      </c>
      <c r="C10">
        <f>VLOOKUP(A10, Sheet1!A10:J24,8)</f>
        <v>249</v>
      </c>
      <c r="D10">
        <f>VLOOKUP(A10, Sheet1!A10:J24,9)</f>
        <v>49.8</v>
      </c>
      <c r="E10" t="str">
        <f>VLOOKUP(A10, Sheet1!A10:J24, 10)</f>
        <v>Fail</v>
      </c>
    </row>
    <row r="11" spans="1:5" x14ac:dyDescent="0.25">
      <c r="A11" s="2" t="s">
        <v>22</v>
      </c>
      <c r="B11" t="str">
        <f>VLOOKUP(A11, Sheet1!A11:J25,2)</f>
        <v>Rahul Patil</v>
      </c>
      <c r="C11">
        <f>VLOOKUP(A11, Sheet1!A11:J25,8)</f>
        <v>382</v>
      </c>
      <c r="D11">
        <f>VLOOKUP(A11, Sheet1!A11:J25,9)</f>
        <v>76.400000000000006</v>
      </c>
      <c r="E11" t="str">
        <f>VLOOKUP(A11, Sheet1!A11:J25, 10)</f>
        <v>Pass</v>
      </c>
    </row>
    <row r="12" spans="1:5" x14ac:dyDescent="0.25">
      <c r="A12" s="2" t="s">
        <v>24</v>
      </c>
      <c r="B12" t="str">
        <f>VLOOKUP(A12, Sheet1!A12:J26,2)</f>
        <v>Rohan Gupta</v>
      </c>
      <c r="C12">
        <f>VLOOKUP(A12, Sheet1!A12:J26,8)</f>
        <v>249</v>
      </c>
      <c r="D12">
        <f>VLOOKUP(A12, Sheet1!A12:J26,9)</f>
        <v>49.8</v>
      </c>
      <c r="E12" t="str">
        <f>VLOOKUP(A12, Sheet1!A12:J26, 10)</f>
        <v>Fail</v>
      </c>
    </row>
    <row r="13" spans="1:5" x14ac:dyDescent="0.25">
      <c r="A13" s="2" t="s">
        <v>26</v>
      </c>
      <c r="B13" t="str">
        <f>VLOOKUP(A13, Sheet1!A13:J27,2)</f>
        <v>Rohan Gupta</v>
      </c>
      <c r="C13">
        <f>VLOOKUP(A13, Sheet1!A13:J27,8)</f>
        <v>249</v>
      </c>
      <c r="D13">
        <f>VLOOKUP(A13, Sheet1!A13:J27,9)</f>
        <v>49.8</v>
      </c>
      <c r="E13" t="str">
        <f>VLOOKUP(A13, Sheet1!A13:J27, 10)</f>
        <v>Fail</v>
      </c>
    </row>
    <row r="14" spans="1:5" x14ac:dyDescent="0.25">
      <c r="A14" s="2" t="s">
        <v>28</v>
      </c>
      <c r="B14" t="str">
        <f>VLOOKUP(A14, Sheet1!A14:J28,2)</f>
        <v>Rohan Gupta</v>
      </c>
      <c r="C14">
        <f>VLOOKUP(A14, Sheet1!A14:J28,8)</f>
        <v>249</v>
      </c>
      <c r="D14">
        <f>VLOOKUP(A14, Sheet1!A14:J28,9)</f>
        <v>49.8</v>
      </c>
      <c r="E14" t="str">
        <f>VLOOKUP(A14, Sheet1!A14:J28, 10)</f>
        <v>Fail</v>
      </c>
    </row>
    <row r="15" spans="1:5" x14ac:dyDescent="0.25">
      <c r="A15" s="2" t="s">
        <v>30</v>
      </c>
      <c r="B15" t="str">
        <f>VLOOKUP(A15, Sheet1!A15:J29,2)</f>
        <v>Rohan Gupta</v>
      </c>
      <c r="C15">
        <f>VLOOKUP(A15, Sheet1!A15:J29,8)</f>
        <v>249</v>
      </c>
      <c r="D15">
        <f>VLOOKUP(A15, Sheet1!A15:J29,9)</f>
        <v>49.8</v>
      </c>
      <c r="E15" t="str">
        <f>VLOOKUP(A15, Sheet1!A15:J29, 10)</f>
        <v>Fail</v>
      </c>
    </row>
    <row r="16" spans="1:5" x14ac:dyDescent="0.25">
      <c r="A16" s="2" t="s">
        <v>32</v>
      </c>
      <c r="B16" t="str">
        <f>VLOOKUP(A16, Sheet1!A16:J30,2)</f>
        <v>Rohan Gupta</v>
      </c>
      <c r="C16">
        <f>VLOOKUP(A16, Sheet1!A16:J30,8)</f>
        <v>249</v>
      </c>
      <c r="D16">
        <f>VLOOKUP(A16, Sheet1!A16:J30,9)</f>
        <v>49.8</v>
      </c>
      <c r="E16" t="str">
        <f>VLOOKUP(A16, Sheet1!A16:J30, 10)</f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NGP.LAB9</dc:creator>
  <cp:lastModifiedBy>Arnav Nagdeote</cp:lastModifiedBy>
  <dcterms:created xsi:type="dcterms:W3CDTF">2025-10-28T07:57:22Z</dcterms:created>
  <dcterms:modified xsi:type="dcterms:W3CDTF">2025-11-23T10:52:14Z</dcterms:modified>
</cp:coreProperties>
</file>